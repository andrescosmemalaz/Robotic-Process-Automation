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dres\Work\Votorantim\course\PROYECTOS MEJORA DE PROCESOS\ROBOT DE SECUENCIA DE COSTO - Copy\"/>
    </mc:Choice>
  </mc:AlternateContent>
  <xr:revisionPtr revIDLastSave="0" documentId="13_ncr:1_{D667B520-F4AE-4E5A-A869-CF0469702265}" xr6:coauthVersionLast="47" xr6:coauthVersionMax="47" xr10:uidLastSave="{00000000-0000-0000-0000-000000000000}"/>
  <bookViews>
    <workbookView xWindow="-120" yWindow="-120" windowWidth="24240" windowHeight="13140" xr2:uid="{53C7AE23-87EB-44E0-852F-2E48F4A84865}"/>
  </bookViews>
  <sheets>
    <sheet name="CREDENCIALES SAP" sheetId="2" r:id="rId1"/>
    <sheet name="SISTEMA" sheetId="1" r:id="rId2"/>
    <sheet name="PL preliminar" sheetId="4" r:id="rId3"/>
    <sheet name="PROCESO" sheetId="3" r:id="rId4"/>
  </sheets>
  <definedNames>
    <definedName name="TOTAL_DOLARES">MODELADO_PL_PRELIMINAR[[#Totals],[DOLARES]]</definedName>
    <definedName name="TOTAL_SOLES">MODELADO_PL_PRELIMINAR[[#Totals],[SOLES]]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4" i="4" l="1"/>
  <c r="I66" i="4"/>
  <c r="I83" i="4"/>
  <c r="I65" i="4"/>
  <c r="I82" i="4"/>
  <c r="I64" i="4"/>
  <c r="I81" i="4"/>
  <c r="I63" i="4"/>
  <c r="I80" i="4"/>
  <c r="I62" i="4"/>
  <c r="I79" i="4"/>
  <c r="I61" i="4"/>
  <c r="I78" i="4"/>
  <c r="I60" i="4"/>
  <c r="I77" i="4"/>
  <c r="I59" i="4"/>
  <c r="I76" i="4"/>
  <c r="I58" i="4"/>
  <c r="I75" i="4"/>
  <c r="I57" i="4"/>
  <c r="I74" i="4"/>
  <c r="I56" i="4"/>
  <c r="I73" i="4"/>
  <c r="I55" i="4"/>
  <c r="I72" i="4"/>
  <c r="I54" i="4"/>
  <c r="I71" i="4"/>
  <c r="I53" i="4"/>
  <c r="I70" i="4"/>
  <c r="I52" i="4"/>
  <c r="I69" i="4"/>
  <c r="I51" i="4"/>
  <c r="I68" i="4"/>
  <c r="I50" i="4"/>
  <c r="G44" i="4"/>
  <c r="G43" i="4"/>
  <c r="G45" i="4" s="1"/>
  <c r="F44" i="4"/>
  <c r="F43" i="4"/>
  <c r="I67" i="4"/>
  <c r="F45" i="4" l="1"/>
</calcChain>
</file>

<file path=xl/sharedStrings.xml><?xml version="1.0" encoding="utf-8"?>
<sst xmlns="http://schemas.openxmlformats.org/spreadsheetml/2006/main" count="33" uniqueCount="28">
  <si>
    <t>Selectusuario</t>
  </si>
  <si>
    <t>Selectedpassword</t>
  </si>
  <si>
    <t>Selectedexcepcion_environment</t>
  </si>
  <si>
    <t># -E04 - ECC - Qualidade</t>
  </si>
  <si>
    <t>AÑO</t>
  </si>
  <si>
    <t>UNIDAD</t>
  </si>
  <si>
    <t>MES</t>
  </si>
  <si>
    <t>SOLES</t>
  </si>
  <si>
    <t>DOLARES</t>
  </si>
  <si>
    <t>CAMBIO</t>
  </si>
  <si>
    <t>MONTOS</t>
  </si>
  <si>
    <t>P33101 COSTOS VARIABLES</t>
  </si>
  <si>
    <t>P33102 SALARIOS Y ADICIONALES</t>
  </si>
  <si>
    <t>P33103 CARGAS SOCIALES</t>
  </si>
  <si>
    <t>P33104 BENEFICIOS SOCIALES</t>
  </si>
  <si>
    <t>P33105 MATERIALES</t>
  </si>
  <si>
    <t>P33106 MANTENIMIENTO Y CONSERVACIÓN</t>
  </si>
  <si>
    <t>P33107 SERVICIOS DE TERCEROS</t>
  </si>
  <si>
    <t>P33108 SEGUROS</t>
  </si>
  <si>
    <t>P33109 ALQUILERES Y ARRENDAMIENTOS</t>
  </si>
  <si>
    <t>P33110 SERVICIOS PÚBLICOS</t>
  </si>
  <si>
    <t>P33111 GASTOS COMERCIALES VARIABLES</t>
  </si>
  <si>
    <t>P33112 IMPUESTOS,TASAS Y CONTRIBUCI</t>
  </si>
  <si>
    <t>P33113 DONACIONES Y PATROCINIOS</t>
  </si>
  <si>
    <t>P33114 DEPRECIACIONES,AGOTAMIENTOS</t>
  </si>
  <si>
    <t>P33115 PROVISIÓN Y PÉRDIDAS DE VALO</t>
  </si>
  <si>
    <t>P33116 Otras despesas operaciona</t>
  </si>
  <si>
    <t>P33199 (-) APROPIACIÓN DE GASTOS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</si>
</sst>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4" fontId="0" fillId="0" borderId="0" xfId="0" applyNumberFormat="1"/>
    <xf numFmtId="164" fontId="0" fillId="0" borderId="1" xfId="1" applyFont="1" applyBorder="1"/>
    <xf numFmtId="0" fontId="2" fillId="2" borderId="1" xfId="0" applyFont="1" applyFill="1" applyBorder="1"/>
    <xf numFmtId="0" fontId="0" fillId="0" borderId="0" xfId="0" applyAlignment="1">
      <alignment horizontal="left" vertical="center"/>
    </xf>
    <xf numFmtId="164" fontId="0" fillId="0" borderId="0" xfId="1" applyFont="1" applyFill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4" fontId="0" fillId="0" borderId="0" xfId="1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1">
    <dxf>
      <numFmt numFmtId="164" formatCode="_-* #,##0.00_-;\-* #,##0.00_-;_-* &quot;-&quot;??_-;_-@_-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4" formatCode="#,##0.00"/>
      <alignment horizontal="left" vertical="center" textRotation="0" wrapText="0" indent="0" justifyLastLine="0" shrinkToFit="0" readingOrder="0"/>
    </dxf>
    <dxf>
      <numFmt numFmtId="4" formatCode="#,##0.00"/>
      <alignment horizontal="left" vertical="center" textRotation="0" wrapText="0" indent="0" justifyLastLine="0" shrinkToFit="0" readingOrder="0"/>
    </dxf>
    <dxf>
      <numFmt numFmtId="4" formatCode="#,##0.00"/>
      <alignment horizontal="left" vertical="center" textRotation="0" wrapText="0" indent="0" justifyLastLine="0" shrinkToFit="0" readingOrder="0"/>
    </dxf>
    <dxf>
      <numFmt numFmtId="4" formatCode="#,##0.0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160020</xdr:rowOff>
    </xdr:from>
    <xdr:to>
      <xdr:col>8</xdr:col>
      <xdr:colOff>434340</xdr:colOff>
      <xdr:row>7</xdr:row>
      <xdr:rowOff>53340</xdr:rowOff>
    </xdr:to>
    <xdr:sp macro="[0]!EXTRACCION_SA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F1A1002-BEFA-3924-0294-ADDA0594D9BA}"/>
            </a:ext>
          </a:extLst>
        </xdr:cNvPr>
        <xdr:cNvSpPr/>
      </xdr:nvSpPr>
      <xdr:spPr>
        <a:xfrm>
          <a:off x="3901440" y="342900"/>
          <a:ext cx="4617720" cy="990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	</a:t>
          </a:r>
        </a:p>
        <a:p>
          <a:pPr algn="l"/>
          <a:r>
            <a:rPr lang="es-PE" sz="1100"/>
            <a:t> </a:t>
          </a:r>
        </a:p>
        <a:p>
          <a:pPr algn="l"/>
          <a:r>
            <a:rPr lang="es-PE" sz="1100"/>
            <a:t>                                                   EJECUTAR MACROS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D61895-0B65-480B-9A9E-86CC3E41658E}" name="MODELADO_PL_PRELIMINAR" displayName="MODELADO_PL_PRELIMINAR" ref="F49:I66" headerRowDxfId="10" dataDxfId="9" totalsRowDxfId="8">
  <autoFilter ref="F49:I66" xr:uid="{B3D61895-0B65-480B-9A9E-86CC3E41658E}"/>
  <tableColumns count="4">
    <tableColumn id="1" xr3:uid="{68EACEAA-4A0D-4DB2-A23A-F93191BE7C68}" name="MONTOS" totalsRowLabel="Total" dataDxfId="7" totalsRowDxfId="6"/>
    <tableColumn id="3" xr3:uid="{23F78F25-8585-4FF6-AE04-B7AF23C05EF6}" name="SOLES" dataDxfId="5" totalsRowDxfId="4"/>
    <tableColumn id="4" xr3:uid="{885AC909-D966-46C7-A69B-D9E5F431E4BA}" name="DOLARES" dataDxfId="3" totalsRowDxfId="2"/>
    <tableColumn id="5" xr3:uid="{E93A4255-4108-4388-B809-EF994335A657}" name="CAMBIO" dataDxfId="1" totalsRowDxfId="0">
      <calculatedColumnFormula>IFERROR(MODELADO_PL_PRELIMINAR[[#This Row],[SOLES]]/MODELADO_PL_PRELIMINAR[[#This Row],[DOLARES]],)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776D-0DF8-48D7-8D93-D9446EA520E7}">
  <sheetPr codeName="Hoja2"/>
  <dimension ref="A1:B3"/>
  <sheetViews>
    <sheetView tabSelected="1" workbookViewId="0">
      <selection activeCell="C7" sqref="C7"/>
    </sheetView>
  </sheetViews>
  <sheetFormatPr defaultColWidth="11.42578125" defaultRowHeight="15" x14ac:dyDescent="0.25"/>
  <cols>
    <col min="1" max="1" width="27.7109375" bestFit="1" customWidth="1"/>
  </cols>
  <sheetData>
    <row r="1" spans="1:2" x14ac:dyDescent="0.25">
      <c r="A1" t="s">
        <v>0</v>
      </c>
      <c r="B1" t="s">
        <v>0</v>
      </c>
    </row>
    <row r="2" spans="1:2" x14ac:dyDescent="0.25">
      <c r="A2" t="s">
        <v>1</v>
      </c>
      <c r="B2" t="s">
        <v>1</v>
      </c>
    </row>
    <row r="3" spans="1:2" x14ac:dyDescent="0.25">
      <c r="A3" t="s">
        <v>2</v>
      </c>
      <c r="B3" t="s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1B867-174E-4D43-81FE-3B83012F4EC0}">
  <sheetPr codeName="Hoja1"/>
  <dimension ref="F9:G12"/>
  <sheetViews>
    <sheetView workbookViewId="0">
      <selection activeCell="G11" sqref="G11"/>
    </sheetView>
  </sheetViews>
  <sheetFormatPr defaultColWidth="11.42578125" defaultRowHeight="15" x14ac:dyDescent="0.25"/>
  <cols>
    <col min="1" max="1" width="27.7109375" bestFit="1" customWidth="1"/>
    <col min="2" max="2" width="20.7109375" bestFit="1" customWidth="1"/>
    <col min="5" max="5" width="0.140625" customWidth="1"/>
    <col min="6" max="6" width="28.42578125" customWidth="1"/>
    <col min="7" max="7" width="24.7109375" customWidth="1"/>
  </cols>
  <sheetData>
    <row r="9" spans="6:7" ht="45.6" customHeight="1" x14ac:dyDescent="0.25"/>
    <row r="10" spans="6:7" ht="34.15" customHeight="1" x14ac:dyDescent="0.25">
      <c r="F10" s="10" t="s">
        <v>4</v>
      </c>
      <c r="G10" s="11">
        <v>2022</v>
      </c>
    </row>
    <row r="11" spans="6:7" ht="35.450000000000003" customHeight="1" x14ac:dyDescent="0.25">
      <c r="F11" s="10" t="s">
        <v>5</v>
      </c>
      <c r="G11" s="11">
        <v>7042</v>
      </c>
    </row>
    <row r="12" spans="6:7" ht="36" customHeight="1" x14ac:dyDescent="0.25">
      <c r="F12" s="10" t="s">
        <v>6</v>
      </c>
      <c r="G12" s="11"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2D80E-5650-4D52-B68D-07C54E7B8A12}">
  <sheetPr codeName="Hoja4"/>
  <dimension ref="E43:I84"/>
  <sheetViews>
    <sheetView topLeftCell="A7" workbookViewId="0">
      <selection activeCell="I75" sqref="I75"/>
    </sheetView>
  </sheetViews>
  <sheetFormatPr defaultColWidth="11.42578125" defaultRowHeight="15" x14ac:dyDescent="0.25"/>
  <cols>
    <col min="6" max="6" width="49.28515625" bestFit="1" customWidth="1"/>
    <col min="7" max="7" width="15.5703125" bestFit="1" customWidth="1"/>
    <col min="8" max="8" width="15.85546875" bestFit="1" customWidth="1"/>
    <col min="9" max="9" width="14.85546875" bestFit="1" customWidth="1"/>
  </cols>
  <sheetData>
    <row r="43" spans="5:9" x14ac:dyDescent="0.25">
      <c r="E43" s="3" t="s">
        <v>7</v>
      </c>
      <c r="F43" s="2">
        <f>SUM(MODELADO_PL_PRELIMINAR[SOLES])</f>
        <v>0</v>
      </c>
      <c r="G43">
        <f>SUMIF(MODELADO_PL_PRELIMINAR[SOLES],"&gt;0",MODELADO_PL_PRELIMINAR[SOLES])</f>
        <v>63430781.730000012</v>
      </c>
    </row>
    <row r="44" spans="5:9" x14ac:dyDescent="0.25">
      <c r="E44" s="3" t="s">
        <v>8</v>
      </c>
      <c r="F44" s="2">
        <f>SUM(MODELADO_PL_PRELIMINAR[DOLARES])</f>
        <v>0</v>
      </c>
      <c r="G44">
        <f>SUMIF(MODELADO_PL_PRELIMINAR[DOLARES],"&gt;0",MODELADO_PL_PRELIMINAR[DOLARES])</f>
        <v>20875728.43</v>
      </c>
    </row>
    <row r="45" spans="5:9" x14ac:dyDescent="0.25">
      <c r="E45" s="3" t="s">
        <v>9</v>
      </c>
      <c r="F45" s="2">
        <f>IFERROR(F43/F44,)</f>
        <v>0</v>
      </c>
      <c r="G45">
        <f>G43/G44</f>
        <v>3.0384942945916649</v>
      </c>
    </row>
    <row r="46" spans="5:9" x14ac:dyDescent="0.25">
      <c r="H46" s="7"/>
      <c r="I46" s="7"/>
    </row>
    <row r="47" spans="5:9" x14ac:dyDescent="0.25">
      <c r="H47" s="8"/>
      <c r="I47" s="8"/>
    </row>
    <row r="48" spans="5:9" x14ac:dyDescent="0.25">
      <c r="H48" s="1"/>
    </row>
    <row r="49" spans="6:9" x14ac:dyDescent="0.25">
      <c r="F49" s="7" t="s">
        <v>10</v>
      </c>
      <c r="G49" s="7" t="s">
        <v>7</v>
      </c>
      <c r="H49" s="7" t="s">
        <v>8</v>
      </c>
      <c r="I49" s="9" t="s">
        <v>9</v>
      </c>
    </row>
    <row r="50" spans="6:9" x14ac:dyDescent="0.25">
      <c r="F50" t="s">
        <v>11</v>
      </c>
      <c r="G50">
        <v>52195744.640000001</v>
      </c>
      <c r="H50">
        <v>17921300.91</v>
      </c>
      <c r="I50" s="9">
        <f>IFERROR(MODELADO_PL_PRELIMINAR[[#This Row],[SOLES]]/MODELADO_PL_PRELIMINAR[[#This Row],[DOLARES]],)</f>
        <v>2.9124975302922915</v>
      </c>
    </row>
    <row r="51" spans="6:9" x14ac:dyDescent="0.25">
      <c r="F51" t="s">
        <v>12</v>
      </c>
      <c r="G51">
        <v>1058424.42</v>
      </c>
      <c r="H51">
        <v>273660.32</v>
      </c>
      <c r="I51" s="9">
        <f>IFERROR(MODELADO_PL_PRELIMINAR[[#This Row],[SOLES]]/MODELADO_PL_PRELIMINAR[[#This Row],[DOLARES]],)</f>
        <v>3.8676576129122404</v>
      </c>
    </row>
    <row r="52" spans="6:9" x14ac:dyDescent="0.25">
      <c r="F52" t="s">
        <v>13</v>
      </c>
      <c r="G52">
        <v>306147.06</v>
      </c>
      <c r="H52">
        <v>81030.3</v>
      </c>
      <c r="I52" s="9">
        <f>IFERROR(MODELADO_PL_PRELIMINAR[[#This Row],[SOLES]]/MODELADO_PL_PRELIMINAR[[#This Row],[DOLARES]],)</f>
        <v>3.7781800141428574</v>
      </c>
    </row>
    <row r="53" spans="6:9" x14ac:dyDescent="0.25">
      <c r="F53" t="s">
        <v>14</v>
      </c>
      <c r="G53">
        <v>205508.03</v>
      </c>
      <c r="H53">
        <v>54641.58</v>
      </c>
      <c r="I53" s="9">
        <f>IFERROR(MODELADO_PL_PRELIMINAR[[#This Row],[SOLES]]/MODELADO_PL_PRELIMINAR[[#This Row],[DOLARES]],)</f>
        <v>3.7610191725788309</v>
      </c>
    </row>
    <row r="54" spans="6:9" x14ac:dyDescent="0.25">
      <c r="F54" t="s">
        <v>15</v>
      </c>
      <c r="G54">
        <v>748785.53</v>
      </c>
      <c r="H54">
        <v>189091.84</v>
      </c>
      <c r="I54" s="9">
        <f>IFERROR(MODELADO_PL_PRELIMINAR[[#This Row],[SOLES]]/MODELADO_PL_PRELIMINAR[[#This Row],[DOLARES]],)</f>
        <v>3.9599039810496319</v>
      </c>
    </row>
    <row r="55" spans="6:9" x14ac:dyDescent="0.25">
      <c r="F55" t="s">
        <v>16</v>
      </c>
      <c r="G55">
        <v>3396688.14</v>
      </c>
      <c r="H55">
        <v>880538.99</v>
      </c>
      <c r="I55" s="9">
        <f>IFERROR(MODELADO_PL_PRELIMINAR[[#This Row],[SOLES]]/MODELADO_PL_PRELIMINAR[[#This Row],[DOLARES]],)</f>
        <v>3.8575102051982957</v>
      </c>
    </row>
    <row r="56" spans="6:9" x14ac:dyDescent="0.25">
      <c r="F56" t="s">
        <v>17</v>
      </c>
      <c r="G56">
        <v>2645393.9</v>
      </c>
      <c r="H56">
        <v>692204.53</v>
      </c>
      <c r="I56" s="9">
        <f>IFERROR(MODELADO_PL_PRELIMINAR[[#This Row],[SOLES]]/MODELADO_PL_PRELIMINAR[[#This Row],[DOLARES]],)</f>
        <v>3.8216940013380145</v>
      </c>
    </row>
    <row r="57" spans="6:9" x14ac:dyDescent="0.25">
      <c r="F57" t="s">
        <v>18</v>
      </c>
      <c r="G57">
        <v>205535.84</v>
      </c>
      <c r="H57">
        <v>50186.79</v>
      </c>
      <c r="I57" s="9">
        <f>IFERROR(MODELADO_PL_PRELIMINAR[[#This Row],[SOLES]]/MODELADO_PL_PRELIMINAR[[#This Row],[DOLARES]],)</f>
        <v>4.0954171406459743</v>
      </c>
    </row>
    <row r="58" spans="6:9" x14ac:dyDescent="0.25">
      <c r="F58" t="s">
        <v>19</v>
      </c>
      <c r="G58">
        <v>248542.53</v>
      </c>
      <c r="H58">
        <v>67367.23</v>
      </c>
      <c r="I58" s="9">
        <f>IFERROR(MODELADO_PL_PRELIMINAR[[#This Row],[SOLES]]/MODELADO_PL_PRELIMINAR[[#This Row],[DOLARES]],)</f>
        <v>3.6893684065680006</v>
      </c>
    </row>
    <row r="59" spans="6:9" x14ac:dyDescent="0.25">
      <c r="F59" t="s">
        <v>20</v>
      </c>
      <c r="G59">
        <v>289743.65000000002</v>
      </c>
      <c r="H59">
        <v>73191.820000000007</v>
      </c>
      <c r="I59" s="9">
        <f>IFERROR(MODELADO_PL_PRELIMINAR[[#This Row],[SOLES]]/MODELADO_PL_PRELIMINAR[[#This Row],[DOLARES]],)</f>
        <v>3.9586889627829995</v>
      </c>
    </row>
    <row r="60" spans="6:9" x14ac:dyDescent="0.25">
      <c r="F60" t="s">
        <v>21</v>
      </c>
      <c r="G60">
        <v>268098.92</v>
      </c>
      <c r="H60">
        <v>69572.59</v>
      </c>
      <c r="I60" s="9">
        <f>IFERROR(MODELADO_PL_PRELIMINAR[[#This Row],[SOLES]]/MODELADO_PL_PRELIMINAR[[#This Row],[DOLARES]],)</f>
        <v>3.8535135748144493</v>
      </c>
    </row>
    <row r="61" spans="6:9" x14ac:dyDescent="0.25">
      <c r="F61" t="s">
        <v>22</v>
      </c>
      <c r="G61">
        <v>59245.79</v>
      </c>
      <c r="H61">
        <v>15413.34</v>
      </c>
      <c r="I61" s="9">
        <f>IFERROR(MODELADO_PL_PRELIMINAR[[#This Row],[SOLES]]/MODELADO_PL_PRELIMINAR[[#This Row],[DOLARES]],)</f>
        <v>3.8437995917821834</v>
      </c>
    </row>
    <row r="62" spans="6:9" x14ac:dyDescent="0.25">
      <c r="F62" t="s">
        <v>23</v>
      </c>
      <c r="I62" s="9">
        <f>IFERROR(MODELADO_PL_PRELIMINAR[[#This Row],[SOLES]]/MODELADO_PL_PRELIMINAR[[#This Row],[DOLARES]],)</f>
        <v>0</v>
      </c>
    </row>
    <row r="63" spans="6:9" x14ac:dyDescent="0.25">
      <c r="F63" t="s">
        <v>24</v>
      </c>
      <c r="G63">
        <v>1611840.86</v>
      </c>
      <c r="H63">
        <v>456565.26</v>
      </c>
      <c r="I63" s="9">
        <f>IFERROR(MODELADO_PL_PRELIMINAR[[#This Row],[SOLES]]/MODELADO_PL_PRELIMINAR[[#This Row],[DOLARES]],)</f>
        <v>3.5303624721688198</v>
      </c>
    </row>
    <row r="64" spans="6:9" x14ac:dyDescent="0.25">
      <c r="F64" t="s">
        <v>25</v>
      </c>
      <c r="I64" s="9">
        <f>IFERROR(MODELADO_PL_PRELIMINAR[[#This Row],[SOLES]]/MODELADO_PL_PRELIMINAR[[#This Row],[DOLARES]],)</f>
        <v>0</v>
      </c>
    </row>
    <row r="65" spans="6:9" x14ac:dyDescent="0.25">
      <c r="F65" t="s">
        <v>26</v>
      </c>
      <c r="G65">
        <v>191082.42</v>
      </c>
      <c r="H65">
        <v>50962.93</v>
      </c>
      <c r="I65" s="9">
        <f>IFERROR(MODELADO_PL_PRELIMINAR[[#This Row],[SOLES]]/MODELADO_PL_PRELIMINAR[[#This Row],[DOLARES]],)</f>
        <v>3.7494394454949904</v>
      </c>
    </row>
    <row r="66" spans="6:9" x14ac:dyDescent="0.25">
      <c r="F66" t="s">
        <v>27</v>
      </c>
      <c r="G66">
        <v>-63430781.729999997</v>
      </c>
      <c r="H66">
        <v>-20875728.43</v>
      </c>
      <c r="I66" s="9">
        <f>IFERROR(MODELADO_PL_PRELIMINAR[[#This Row],[SOLES]]/MODELADO_PL_PRELIMINAR[[#This Row],[DOLARES]],)</f>
        <v>3.038494294591664</v>
      </c>
    </row>
    <row r="67" spans="6:9" x14ac:dyDescent="0.25">
      <c r="F67" s="4"/>
      <c r="G67" s="6"/>
      <c r="H67" s="6"/>
      <c r="I67" s="5">
        <f>IFERROR(MODELADO_PL_PRELIMINAR[[#This Row],[SOLES]]/MODELADO_PL_PRELIMINAR[[#This Row],[DOLARES]],)</f>
        <v>0</v>
      </c>
    </row>
    <row r="68" spans="6:9" x14ac:dyDescent="0.25">
      <c r="F68" s="4"/>
      <c r="G68" s="6"/>
      <c r="H68" s="6"/>
      <c r="I68" s="5">
        <f>IFERROR(MODELADO_PL_PRELIMINAR[[#This Row],[SOLES]]/MODELADO_PL_PRELIMINAR[[#This Row],[DOLARES]],)</f>
        <v>0</v>
      </c>
    </row>
    <row r="69" spans="6:9" x14ac:dyDescent="0.25">
      <c r="F69" s="4"/>
      <c r="G69" s="6"/>
      <c r="H69" s="6"/>
      <c r="I69" s="5">
        <f>IFERROR(MODELADO_PL_PRELIMINAR[[#This Row],[SOLES]]/MODELADO_PL_PRELIMINAR[[#This Row],[DOLARES]],)</f>
        <v>0</v>
      </c>
    </row>
    <row r="70" spans="6:9" x14ac:dyDescent="0.25">
      <c r="F70" s="4"/>
      <c r="G70" s="6"/>
      <c r="H70" s="6"/>
      <c r="I70" s="5">
        <f>IFERROR(MODELADO_PL_PRELIMINAR[[#This Row],[SOLES]]/MODELADO_PL_PRELIMINAR[[#This Row],[DOLARES]],)</f>
        <v>0</v>
      </c>
    </row>
    <row r="71" spans="6:9" x14ac:dyDescent="0.25">
      <c r="F71" s="4"/>
      <c r="G71" s="6"/>
      <c r="H71" s="6"/>
      <c r="I71" s="5">
        <f>IFERROR(MODELADO_PL_PRELIMINAR[[#This Row],[SOLES]]/MODELADO_PL_PRELIMINAR[[#This Row],[DOLARES]],)</f>
        <v>0</v>
      </c>
    </row>
    <row r="72" spans="6:9" x14ac:dyDescent="0.25">
      <c r="F72" s="4"/>
      <c r="G72" s="6"/>
      <c r="H72" s="6"/>
      <c r="I72" s="5">
        <f>IFERROR(MODELADO_PL_PRELIMINAR[[#This Row],[SOLES]]/MODELADO_PL_PRELIMINAR[[#This Row],[DOLARES]],)</f>
        <v>0</v>
      </c>
    </row>
    <row r="73" spans="6:9" x14ac:dyDescent="0.25">
      <c r="F73" s="4"/>
      <c r="G73" s="6"/>
      <c r="H73" s="6"/>
      <c r="I73" s="5">
        <f>IFERROR(MODELADO_PL_PRELIMINAR[[#This Row],[SOLES]]/MODELADO_PL_PRELIMINAR[[#This Row],[DOLARES]],)</f>
        <v>0</v>
      </c>
    </row>
    <row r="74" spans="6:9" x14ac:dyDescent="0.25">
      <c r="F74" s="4"/>
      <c r="G74" s="6"/>
      <c r="H74" s="6"/>
      <c r="I74" s="5">
        <f>IFERROR(MODELADO_PL_PRELIMINAR[[#This Row],[SOLES]]/MODELADO_PL_PRELIMINAR[[#This Row],[DOLARES]],)</f>
        <v>0</v>
      </c>
    </row>
    <row r="75" spans="6:9" x14ac:dyDescent="0.25">
      <c r="F75" s="4"/>
      <c r="G75" s="6"/>
      <c r="H75" s="6"/>
      <c r="I75" s="5">
        <f>IFERROR(MODELADO_PL_PRELIMINAR[[#This Row],[SOLES]]/MODELADO_PL_PRELIMINAR[[#This Row],[DOLARES]],)</f>
        <v>0</v>
      </c>
    </row>
    <row r="76" spans="6:9" x14ac:dyDescent="0.25">
      <c r="F76" s="4"/>
      <c r="G76" s="6"/>
      <c r="H76" s="6"/>
      <c r="I76" s="5">
        <f>IFERROR(MODELADO_PL_PRELIMINAR[[#This Row],[SOLES]]/MODELADO_PL_PRELIMINAR[[#This Row],[DOLARES]],)</f>
        <v>0</v>
      </c>
    </row>
    <row r="77" spans="6:9" x14ac:dyDescent="0.25">
      <c r="F77" s="4"/>
      <c r="G77" s="6"/>
      <c r="H77" s="6"/>
      <c r="I77" s="5">
        <f>IFERROR(MODELADO_PL_PRELIMINAR[[#This Row],[SOLES]]/MODELADO_PL_PRELIMINAR[[#This Row],[DOLARES]],)</f>
        <v>0</v>
      </c>
    </row>
    <row r="78" spans="6:9" x14ac:dyDescent="0.25">
      <c r="F78" s="4"/>
      <c r="G78" s="6"/>
      <c r="H78" s="6"/>
      <c r="I78" s="5">
        <f>IFERROR(MODELADO_PL_PRELIMINAR[[#This Row],[SOLES]]/MODELADO_PL_PRELIMINAR[[#This Row],[DOLARES]],)</f>
        <v>0</v>
      </c>
    </row>
    <row r="79" spans="6:9" x14ac:dyDescent="0.25">
      <c r="F79" s="4"/>
      <c r="G79" s="6"/>
      <c r="H79" s="6"/>
      <c r="I79" s="5">
        <f>IFERROR(MODELADO_PL_PRELIMINAR[[#This Row],[SOLES]]/MODELADO_PL_PRELIMINAR[[#This Row],[DOLARES]],)</f>
        <v>0</v>
      </c>
    </row>
    <row r="80" spans="6:9" x14ac:dyDescent="0.25">
      <c r="F80" s="4"/>
      <c r="G80" s="6"/>
      <c r="H80" s="6"/>
      <c r="I80" s="5">
        <f>IFERROR(MODELADO_PL_PRELIMINAR[[#This Row],[SOLES]]/MODELADO_PL_PRELIMINAR[[#This Row],[DOLARES]],)</f>
        <v>0</v>
      </c>
    </row>
    <row r="81" spans="6:9" x14ac:dyDescent="0.25">
      <c r="F81" s="4"/>
      <c r="G81" s="6"/>
      <c r="H81" s="6"/>
      <c r="I81" s="5">
        <f>IFERROR(MODELADO_PL_PRELIMINAR[[#This Row],[SOLES]]/MODELADO_PL_PRELIMINAR[[#This Row],[DOLARES]],)</f>
        <v>0</v>
      </c>
    </row>
    <row r="82" spans="6:9" x14ac:dyDescent="0.25">
      <c r="F82" s="4"/>
      <c r="G82" s="6"/>
      <c r="H82" s="6"/>
      <c r="I82" s="5">
        <f>IFERROR(MODELADO_PL_PRELIMINAR[[#This Row],[SOLES]]/MODELADO_PL_PRELIMINAR[[#This Row],[DOLARES]],)</f>
        <v>0</v>
      </c>
    </row>
    <row r="83" spans="6:9" x14ac:dyDescent="0.25">
      <c r="F83" s="4"/>
      <c r="G83" s="6"/>
      <c r="H83" s="6"/>
      <c r="I83" s="5">
        <f>IFERROR(MODELADO_PL_PRELIMINAR[[#This Row],[SOLES]]/MODELADO_PL_PRELIMINAR[[#This Row],[DOLARES]],)</f>
        <v>0</v>
      </c>
    </row>
    <row r="84" spans="6:9" x14ac:dyDescent="0.25">
      <c r="F84" s="4"/>
      <c r="G84" s="6"/>
      <c r="H84" s="6"/>
      <c r="I84" s="5">
        <f>IFERROR(MODELADO_PL_PRELIMINAR[[#This Row],[SOLES]]/MODELADO_PL_PRELIMINAR[[#This Row],[DOLARES]],)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10309-F8EA-4B24-A773-D4CDB23EDD2D}">
  <sheetPr codeName="Hoja3"/>
  <dimension ref="A1"/>
  <sheetViews>
    <sheetView zoomScale="60" zoomScaleNormal="60" workbookViewId="0">
      <selection activeCell="D32" sqref="D32"/>
    </sheetView>
  </sheetViews>
  <sheetFormatPr defaultColWidth="11.42578125" defaultRowHeight="15" x14ac:dyDescent="0.25"/>
  <cols>
    <col min="1" max="1" width="47.5703125" bestFit="1" customWidth="1"/>
    <col min="2" max="2" width="12" bestFit="1" customWidth="1"/>
    <col min="4" max="4" width="47.5703125" bestFit="1" customWidth="1"/>
  </cols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CA6555-A5EA-48B6-AED4-03DF67BB6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CREDENCIALES SAP</vt:lpstr>
      <vt:lpstr>SISTEMA</vt:lpstr>
      <vt:lpstr>PL preliminar</vt:lpstr>
      <vt:lpstr>PROCESO</vt:lpstr>
      <vt:lpstr>TOTAL_DOLARES</vt:lpstr>
      <vt:lpstr>TOTAL_SOLES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Andres Maximo Cosme Malasquez</dc:creator>
  <cp:keywords/>
  <dc:description/>
  <cp:lastModifiedBy>andre</cp:lastModifiedBy>
  <cp:revision/>
  <dcterms:created xsi:type="dcterms:W3CDTF">2023-02-23T15:10:34Z</dcterms:created>
  <dcterms:modified xsi:type="dcterms:W3CDTF">2023-03-28T01:01:18Z</dcterms:modified>
  <cp:category/>
  <cp:contentStatus/>
</cp:coreProperties>
</file>