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andres\Work\Votorantim\course\Macros LIMA\VALIDACION TXT PLAME\MC PROYECTO\SAP_REPORTES_MAESTRA\"/>
    </mc:Choice>
  </mc:AlternateContent>
  <xr:revisionPtr revIDLastSave="0" documentId="13_ncr:1_{06313029-7C7A-47B4-8A7E-490928B7908E}" xr6:coauthVersionLast="47" xr6:coauthVersionMax="47" xr10:uidLastSave="{00000000-0000-0000-0000-000000000000}"/>
  <bookViews>
    <workbookView xWindow="-120" yWindow="-120" windowWidth="24240" windowHeight="13140" activeTab="1" xr2:uid="{F1034AC4-8796-4AD0-9124-D91FB3A0DD77}"/>
  </bookViews>
  <sheets>
    <sheet name="FILTROS" sheetId="3" r:id="rId1"/>
    <sheet name="CREDENCIALES SAP" sheetId="2" r:id="rId2"/>
    <sheet name="SAP" sheetId="1" r:id="rId3"/>
    <sheet name="PRUEBA" sheetId="4" r:id="rId4"/>
  </sheets>
  <externalReferences>
    <externalReference r:id="rId5"/>
  </externalReferences>
  <definedNames>
    <definedName name="CELDA_SOCIEDAD">'[1]REPORTE SUELDO'!$B$4</definedName>
    <definedName name="CELDA_UNIDAD_SELECCIONADA" localSheetId="1">[1]SAP!$B$4</definedName>
    <definedName name="CELDA_UNIDAD_SELECCIONADA" localSheetId="0">[1]SAP!$B$4</definedName>
    <definedName name="CELDA_UNIDAD_SELECCIONADA">SAP!$B$4</definedName>
    <definedName name="DEFINICION_COD_UNIDAD">OFFSET(UNIDADES_MINERAS[[#Headers],[SOCIEDAD]],MATCH([1]FILTROS!$H$20,UNIDADES_MINERAS[[#All],[SOCIEDAD]],0)-1,1,COUNTIF(UNIDADES_MINERAS[[#All],[SOCIEDAD]],[1]FILTROS!$H$20),1)</definedName>
    <definedName name="Environment_Maestra">'CREDENCIALES SAP'!$B$3</definedName>
    <definedName name="FORMULA_BUSQUEDA_DIVISION">OFFSET(UNIDADES_MINERAS[[#Headers],[UNIDADES]],MATCH([1]FILTROS!$H$17,UNIDADES_MINERAS[[#All],[UNIDADES]],0)-1,2,COUNTIF(UNIDADES_MINERAS[[#All],[UNIDADES]],[1]FILTROS!$H$17),1)</definedName>
    <definedName name="SAP_FECHA1">SAP!$B$2</definedName>
    <definedName name="SAP_FECHA2">SAP!$D$2</definedName>
    <definedName name="SAP_FECHA3">SAP!$B$3</definedName>
    <definedName name="SAP_FECHA4">SAP!$D$3</definedName>
    <definedName name="Selectedpassword_Maestra">'CREDENCIALES SAP'!$B$2</definedName>
    <definedName name="Selectusuario_Maestra">'CREDENCIALES SAP'!$B$1</definedName>
    <definedName name="Selectusuario_Maesttra">'CREDENCIALES SAP'!$B$1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 a="1"/>
  <c r="D6" i="1" s="1"/>
  <c r="B6" i="1" a="1"/>
  <c r="B6" i="1" s="1"/>
  <c r="B5" i="1" a="1"/>
  <c r="B5" i="1" s="1"/>
  <c r="I20" i="3" a="1"/>
  <c r="I20" i="3" s="1"/>
  <c r="L17" i="3" a="1"/>
  <c r="L17" i="3" s="1"/>
  <c r="I17" i="3" a="1"/>
  <c r="I17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DEF589E-4157-4F42-A049-8C74B3A0B904}" keepAlive="1" name="Conexión" type="5" refreshedVersion="0" background="1">
    <dbPr connection="Provider=Microsoft.Mashup.OleDb.1;Data Source=$Workbook$;Location= DATA SAP7010-130181;Extended Properties=&quot;&quot;" commandType="0"/>
  </connection>
  <connection id="2" xr16:uid="{123E1B3A-2E24-4481-A92B-E8747F1F70B5}" keepAlive="1" name="Conexión1" type="5" refreshedVersion="8" background="1" saveData="1">
    <dbPr connection="Provider=Microsoft.Mashup.OleDb.1;Data Source=$Workbook$;Location= DATA SAP7010-131182;Extended Properties=&quot;&quot;" command="SELECT * FROM [DATA SAP7010-131182]"/>
  </connection>
  <connection id="3" xr16:uid="{A7E56312-028D-4136-927D-A5DE782E7FEF}" keepAlive="1" name="Conexión2" type="5" refreshedVersion="8" background="1" saveData="1">
    <dbPr connection="Provider=Microsoft.Mashup.OleDb.1;Data Source=$Workbook$;Location= DATA SAP7010-132183;Extended Properties=&quot;&quot;" command="SELECT * FROM [DATA SAP7010-132183]"/>
  </connection>
  <connection id="4" xr16:uid="{3F30950C-62B5-48AD-9DF6-868AF7CCE2D1}" keepAlive="1" name="Conexión3" type="5" refreshedVersion="8" background="1" saveData="1">
    <dbPr connection="Provider=Microsoft.Mashup.OleDb.1;Data Source=$Workbook$;Location= DATA SAP7010-133184;Extended Properties=&quot;&quot;" command="SELECT * FROM [DATA SAP7010-133184]"/>
  </connection>
  <connection id="5" xr16:uid="{9616EB00-730A-430E-B541-F56135C31E2D}" keepAlive="1" name="Conexión33" type="5" refreshedVersion="0" background="1">
    <dbPr connection="Provider=Microsoft.Mashup.OleDb.1;Data Source=$Workbook$;Location= DATA SAP7010-112163;Extended Properties=&quot;&quot;" commandType="0"/>
  </connection>
  <connection id="6" xr16:uid="{BE395B7C-7C1E-480D-B7DC-733FB4285EE0}" keepAlive="1" name="Conexión4" type="5" refreshedVersion="0" saveData="1">
    <dbPr connection="Provider=Microsoft.Mashup.OleDb.1;Data Source=$Workbook$;Location= DATA SAP7010-81132;Extended Properties=&quot;&quot;" commandType="0"/>
  </connection>
  <connection id="7" xr16:uid="{5FA3E2E9-76E4-4EC5-A1F4-1C21B7A6C8E0}" keepAlive="1" name="Conexión5" type="5" refreshedVersion="8" background="1" saveData="1">
    <dbPr connection="Provider=Microsoft.Mashup.OleDb.1;Data Source=$Workbook$;Location= DATA SAP7010-134185;Extended Properties=&quot;&quot;" command="SELECT * FROM [DATA SAP7010-134185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<sst xmlns="http://schemas.openxmlformats.org/spreadsheetml/2006/main" count="125" uniqueCount="85">
  <si>
    <t>Transacción</t>
  </si>
  <si>
    <t>ZVMHR047</t>
  </si>
  <si>
    <t>Período selección datos</t>
  </si>
  <si>
    <t>01.10.2022</t>
  </si>
  <si>
    <t>A</t>
  </si>
  <si>
    <t>01.11.2022</t>
  </si>
  <si>
    <t>Período selección personas</t>
  </si>
  <si>
    <t>UNIDAD</t>
  </si>
  <si>
    <t>NEXA RESOURCES PERU S.A.A</t>
  </si>
  <si>
    <t>Sociedad</t>
  </si>
  <si>
    <t>EXCEPCIÓN 1</t>
  </si>
  <si>
    <t>EXCEPCION 2</t>
  </si>
  <si>
    <t>Selectusuario</t>
  </si>
  <si>
    <t>Selectedpassword</t>
  </si>
  <si>
    <t>FECHAS</t>
  </si>
  <si>
    <t>01.01.2022</t>
  </si>
  <si>
    <t>01.02.2022</t>
  </si>
  <si>
    <t>01.03.2022</t>
  </si>
  <si>
    <t>01.04.2022</t>
  </si>
  <si>
    <t>01.05.2022</t>
  </si>
  <si>
    <t>UNIDADES</t>
  </si>
  <si>
    <t>N DE UNIDADES</t>
  </si>
  <si>
    <t>SOCIEDAD</t>
  </si>
  <si>
    <t>DIVISION PERSONAL</t>
  </si>
  <si>
    <t>01.06.2022</t>
  </si>
  <si>
    <t>CERRO LINDO</t>
  </si>
  <si>
    <t>01.07.2022</t>
  </si>
  <si>
    <t>NEXA RES CAJAMARQUILLA SA</t>
  </si>
  <si>
    <t>LIMA</t>
  </si>
  <si>
    <t>01.08.2022</t>
  </si>
  <si>
    <t>NEXA RESOURCE EL PORVENIR</t>
  </si>
  <si>
    <t>CAJAMARQUILLA</t>
  </si>
  <si>
    <t>01.09.2022</t>
  </si>
  <si>
    <t>NEXA RESOURCES ATACOCHA S</t>
  </si>
  <si>
    <t>EL PORVENIR</t>
  </si>
  <si>
    <t>VOTORANTIM CSC</t>
  </si>
  <si>
    <t>ATACOCHA</t>
  </si>
  <si>
    <t>CSC</t>
  </si>
  <si>
    <t>01.12.2022</t>
  </si>
  <si>
    <t>01.01.2023</t>
  </si>
  <si>
    <t>01.02.2023</t>
  </si>
  <si>
    <t>01.03.2023</t>
  </si>
  <si>
    <t>NOMBRE UNIDADES</t>
  </si>
  <si>
    <t>EXCEPCIÓN 2</t>
  </si>
  <si>
    <t>Valor Seleccionado</t>
  </si>
  <si>
    <t>Valor SAP AUTOINCREMENTABLE-SAP</t>
  </si>
  <si>
    <t>01.04.2023</t>
  </si>
  <si>
    <t>P2</t>
  </si>
  <si>
    <t>P5</t>
  </si>
  <si>
    <t>01.05.2023</t>
  </si>
  <si>
    <t>P8</t>
  </si>
  <si>
    <t>01.06.2023</t>
  </si>
  <si>
    <t>PL</t>
  </si>
  <si>
    <t>Valor SAP AUTOINCREMENTABLE-SUELDO</t>
  </si>
  <si>
    <t>01.07.2023</t>
  </si>
  <si>
    <t>PG</t>
  </si>
  <si>
    <t>REPORTE SUELDO</t>
  </si>
  <si>
    <t>01.08.2023</t>
  </si>
  <si>
    <t>PAMPA DE COBRE S.A.</t>
  </si>
  <si>
    <t>PQ</t>
  </si>
  <si>
    <t>01.09.2023</t>
  </si>
  <si>
    <t>PC</t>
  </si>
  <si>
    <t>01.10.2023</t>
  </si>
  <si>
    <t>01.11.2023</t>
  </si>
  <si>
    <t>01.12.2023</t>
  </si>
  <si>
    <t>01.01.2024</t>
  </si>
  <si>
    <t>01.02.2024</t>
  </si>
  <si>
    <t>01.03.2024</t>
  </si>
  <si>
    <t>01.04.2024</t>
  </si>
  <si>
    <t>01.05.2024</t>
  </si>
  <si>
    <t>01.06.2024</t>
  </si>
  <si>
    <t>01.07.2024</t>
  </si>
  <si>
    <t>01.08.2024</t>
  </si>
  <si>
    <t>01.09.2024</t>
  </si>
  <si>
    <t>01.10.2024</t>
  </si>
  <si>
    <t>01.11.2024</t>
  </si>
  <si>
    <t>01.12.2024</t>
  </si>
  <si>
    <t>Unidades</t>
  </si>
  <si>
    <t>N de unidades</t>
  </si>
  <si>
    <t>División de personal</t>
  </si>
  <si>
    <t>Environment </t>
  </si>
  <si>
    <t>AMBIENTE</t>
  </si>
  <si>
    <t># -E03 - ECC - Desenvolvimento</t>
  </si>
  <si>
    <t># -E04 - ECC - Qualidade</t>
  </si>
  <si>
    <t># -E05 - ECC - Produção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</si>
</sst>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2" xfId="0" applyFill="1" applyBorder="1"/>
    <xf numFmtId="0" fontId="0" fillId="0" borderId="2" xfId="0" applyBorder="1"/>
    <xf numFmtId="0" fontId="0" fillId="0" borderId="0" xfId="0" applyAlignment="1">
      <alignment vertical="top"/>
    </xf>
  </cellXfs>
  <cellStyles count="1">
    <cellStyle name="Normal" xfId="0" builtinId="0"/>
  </cellStyles>
  <dxfs count="1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171450</xdr:rowOff>
        </xdr:from>
        <xdr:to>
          <xdr:col>9</xdr:col>
          <xdr:colOff>9525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Extracción de información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votorantimindustrial-my.sharepoint.com/personal/andres_cosme_votorantim_com/Documents/&#193;rea%20de%20Trabalho/Project/3.Indicadores%20DHO-Sof&#237;a/Recursos/VBA_SAP/MC%20PROYECTO/SAP_REPOR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LTROS"/>
      <sheetName val="CREDENCIALES SAP"/>
      <sheetName val="SAP"/>
      <sheetName val="REPORTE SUELDO"/>
      <sheetName val="SAP_REPORTES"/>
    </sheetNames>
    <definedNames>
      <definedName name="EJECUCIÓN_EXTREMA"/>
    </definedNames>
    <sheetDataSet>
      <sheetData sheetId="0">
        <row r="17">
          <cell r="H17">
            <v>7010</v>
          </cell>
        </row>
      </sheetData>
      <sheetData sheetId="1"/>
      <sheetData sheetId="2">
        <row r="4">
          <cell r="B4" t="str">
            <v>NEXA RESOURCES PERU S.A.A</v>
          </cell>
        </row>
      </sheetData>
      <sheetData sheetId="3">
        <row r="4">
          <cell r="B4">
            <v>7010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9EAF5E-DB26-4841-AEE5-6BF21C09EDEF}" name="FECHA_DE_INGRESO" displayName="FECHA_DE_INGRESO" ref="A1:A37" totalsRowShown="0" headerRowDxfId="15" dataDxfId="14">
  <autoFilter ref="A1:A37" xr:uid="{307956B3-2C3D-48A3-B5F1-8BBDF66FA7C8}"/>
  <tableColumns count="1">
    <tableColumn id="1" xr3:uid="{002350C3-6264-4D95-9039-F1AF3B609CD3}" name="FECHA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58942A-3C36-4C9A-A552-779332448397}" name="CENTRAL_UNIDADES" displayName="CENTRAL_UNIDADES" ref="E6:F11" totalsRowShown="0">
  <autoFilter ref="E6:F11" xr:uid="{142FCB1B-72A5-4F59-9BA4-6B5FA9076AB4}"/>
  <tableColumns count="2">
    <tableColumn id="1" xr3:uid="{E37ED0E5-C2BB-43AF-98B4-0BB23F7C8F47}" name="UNIDADES" dataDxfId="12"/>
    <tableColumn id="2" xr3:uid="{2565868E-BF73-4ECB-84D0-9A856EAB180F}" name="N DE UNIDAD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5510746-6416-472A-9B98-CB226AE5ECD7}" name="UNIDADES_MINERAS" displayName="UNIDADES_MINERAS" ref="H6:K12" totalsRowShown="0">
  <tableColumns count="4">
    <tableColumn id="4" xr3:uid="{7BAF7EB4-4EB9-48FF-AEEC-49D1C0F0E2B7}" name="SOCIEDAD" dataDxfId="11"/>
    <tableColumn id="1" xr3:uid="{B62DBC27-7C09-4031-A803-CD645A7D6677}" name="UNIDADES" dataDxfId="10"/>
    <tableColumn id="3" xr3:uid="{B153A4F1-74CE-4960-AC91-8F2752F48CE2}" name="N DE UNIDADES" dataDxfId="9"/>
    <tableColumn id="2" xr3:uid="{EBCD0B0E-475D-4D7D-A4F2-BD6AFA7EE806}" name="DIVISION PERSONAL" dataDxf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A00F0F-CCF9-4D93-AAE6-71A4B71169D9}" name="UNIDADES_VALIDACION" displayName="UNIDADES_VALIDACION" ref="C16:F22" totalsRowShown="0" headerRowDxfId="7">
  <autoFilter ref="C16:F22" xr:uid="{B70D17D9-3B95-49E5-9B64-80BDA2E46BD4}"/>
  <tableColumns count="4">
    <tableColumn id="1" xr3:uid="{109E57B7-3B5A-49FB-8CA9-67AA110E0AD9}" name="NOMBRE UNIDADES" dataDxfId="6"/>
    <tableColumn id="2" xr3:uid="{06B573B2-401E-4FF3-9E5F-601E47313B49}" name="UNIDADES" dataDxfId="5"/>
    <tableColumn id="3" xr3:uid="{B16A7824-EE72-4241-81BF-321C4691F14E}" name="EXCEPCIÓN 1" dataDxfId="4"/>
    <tableColumn id="4" xr3:uid="{EDF086FA-731A-4D79-A031-4F1A76016855}" name="EXCEPCIÓN 2" dataDxfId="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88F0DAC-748F-4572-B123-7E1515BA1B01}" name="Tabla145" displayName="Tabla145" ref="F48:H54" totalsRowShown="0">
  <autoFilter ref="F48:H54" xr:uid="{9BE6C2DE-2CD8-4D94-96C9-96443EFEFB4C}"/>
  <tableColumns count="3">
    <tableColumn id="1" xr3:uid="{75AA49B1-9160-440C-A31B-FAA30CCAF882}" name="Unidades" dataDxfId="2"/>
    <tableColumn id="3" xr3:uid="{A2972675-29D3-4E41-AE4A-095E3E5926A4}" name="N de unidades" dataDxfId="1"/>
    <tableColumn id="2" xr3:uid="{0B313A8E-9B71-4755-8962-B0F04BDFDE4E}" name="División de personal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E6296F-DD7C-4FDF-B4AC-5CB8FB261623}" name="AMBIENTES" displayName="AMBIENTES" ref="D31:D34" totalsRowShown="0">
  <autoFilter ref="D31:D34" xr:uid="{5EE6296F-DD7C-4FDF-B4AC-5CB8FB261623}"/>
  <tableColumns count="1">
    <tableColumn id="1" xr3:uid="{DF3A96FE-07BD-4F08-A51A-4933328A1277}" name="AMBIE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F8FAD-73ED-4011-8D11-ACF1B42A64A3}">
  <sheetPr codeName="Hoja2"/>
  <dimension ref="A1:N54"/>
  <sheetViews>
    <sheetView topLeftCell="A2" workbookViewId="0">
      <selection activeCell="E7" sqref="E7:F11"/>
    </sheetView>
  </sheetViews>
  <sheetFormatPr defaultColWidth="11.42578125" defaultRowHeight="15" x14ac:dyDescent="0.25"/>
  <cols>
    <col min="3" max="4" width="26.85546875" bestFit="1" customWidth="1"/>
    <col min="5" max="5" width="21.28515625" customWidth="1"/>
    <col min="6" max="6" width="18.5703125" customWidth="1"/>
    <col min="8" max="8" width="16.7109375" bestFit="1" customWidth="1"/>
    <col min="9" max="10" width="26.85546875" bestFit="1" customWidth="1"/>
    <col min="11" max="11" width="36" bestFit="1" customWidth="1"/>
    <col min="12" max="12" width="15.7109375" customWidth="1"/>
  </cols>
  <sheetData>
    <row r="1" spans="1:11" x14ac:dyDescent="0.25">
      <c r="A1" s="1" t="s">
        <v>14</v>
      </c>
    </row>
    <row r="2" spans="1:11" x14ac:dyDescent="0.25">
      <c r="A2" s="1" t="s">
        <v>15</v>
      </c>
    </row>
    <row r="3" spans="1:11" x14ac:dyDescent="0.25">
      <c r="A3" s="1" t="s">
        <v>16</v>
      </c>
    </row>
    <row r="4" spans="1:11" x14ac:dyDescent="0.25">
      <c r="A4" s="1" t="s">
        <v>17</v>
      </c>
    </row>
    <row r="5" spans="1:11" x14ac:dyDescent="0.25">
      <c r="A5" s="1" t="s">
        <v>18</v>
      </c>
    </row>
    <row r="6" spans="1:11" x14ac:dyDescent="0.25">
      <c r="A6" s="1" t="s">
        <v>19</v>
      </c>
      <c r="E6" s="1" t="s">
        <v>20</v>
      </c>
      <c r="F6" s="1" t="s">
        <v>21</v>
      </c>
      <c r="H6" s="3" t="s">
        <v>22</v>
      </c>
      <c r="I6" s="1" t="s">
        <v>20</v>
      </c>
      <c r="J6" s="1" t="s">
        <v>21</v>
      </c>
      <c r="K6" s="1" t="s">
        <v>23</v>
      </c>
    </row>
    <row r="7" spans="1:11" x14ac:dyDescent="0.25">
      <c r="A7" s="1" t="s">
        <v>24</v>
      </c>
      <c r="E7" s="1">
        <v>7010</v>
      </c>
      <c r="F7" t="s">
        <v>8</v>
      </c>
      <c r="H7" s="4" t="s">
        <v>25</v>
      </c>
      <c r="I7" s="1">
        <v>7010</v>
      </c>
      <c r="J7" t="s">
        <v>8</v>
      </c>
      <c r="K7" s="1">
        <v>7461</v>
      </c>
    </row>
    <row r="8" spans="1:11" x14ac:dyDescent="0.25">
      <c r="A8" s="1" t="s">
        <v>26</v>
      </c>
      <c r="E8" s="1">
        <v>7042</v>
      </c>
      <c r="F8" t="s">
        <v>27</v>
      </c>
      <c r="H8" s="5" t="s">
        <v>28</v>
      </c>
      <c r="I8" s="1">
        <v>7010</v>
      </c>
      <c r="J8" t="s">
        <v>8</v>
      </c>
      <c r="K8" s="1">
        <v>7462</v>
      </c>
    </row>
    <row r="9" spans="1:11" x14ac:dyDescent="0.25">
      <c r="A9" s="1" t="s">
        <v>29</v>
      </c>
      <c r="E9" s="1">
        <v>7053</v>
      </c>
      <c r="F9" t="s">
        <v>30</v>
      </c>
      <c r="H9" s="4" t="s">
        <v>31</v>
      </c>
      <c r="I9" s="1">
        <v>7042</v>
      </c>
      <c r="J9" t="s">
        <v>27</v>
      </c>
      <c r="K9" s="1">
        <v>7450</v>
      </c>
    </row>
    <row r="10" spans="1:11" x14ac:dyDescent="0.25">
      <c r="A10" s="1" t="s">
        <v>32</v>
      </c>
      <c r="E10" s="1">
        <v>7022</v>
      </c>
      <c r="F10" t="s">
        <v>33</v>
      </c>
      <c r="H10" s="5" t="s">
        <v>34</v>
      </c>
      <c r="I10" s="1">
        <v>7053</v>
      </c>
      <c r="J10" t="s">
        <v>30</v>
      </c>
      <c r="K10" s="1">
        <v>7467</v>
      </c>
    </row>
    <row r="11" spans="1:11" x14ac:dyDescent="0.25">
      <c r="A11" s="1" t="s">
        <v>3</v>
      </c>
      <c r="E11" s="1">
        <v>1009</v>
      </c>
      <c r="F11" t="s">
        <v>35</v>
      </c>
      <c r="H11" s="4" t="s">
        <v>36</v>
      </c>
      <c r="I11" s="1">
        <v>7022</v>
      </c>
      <c r="J11" t="s">
        <v>33</v>
      </c>
      <c r="K11" s="1">
        <v>7463</v>
      </c>
    </row>
    <row r="12" spans="1:11" x14ac:dyDescent="0.25">
      <c r="A12" s="1" t="s">
        <v>5</v>
      </c>
      <c r="H12" s="4" t="s">
        <v>37</v>
      </c>
      <c r="I12" s="1">
        <v>1009</v>
      </c>
      <c r="J12" t="s">
        <v>35</v>
      </c>
      <c r="K12" s="1">
        <v>1009</v>
      </c>
    </row>
    <row r="13" spans="1:11" x14ac:dyDescent="0.25">
      <c r="A13" s="1" t="s">
        <v>38</v>
      </c>
    </row>
    <row r="14" spans="1:11" x14ac:dyDescent="0.25">
      <c r="A14" s="1" t="s">
        <v>39</v>
      </c>
    </row>
    <row r="15" spans="1:11" x14ac:dyDescent="0.25">
      <c r="A15" s="1" t="s">
        <v>40</v>
      </c>
    </row>
    <row r="16" spans="1:11" x14ac:dyDescent="0.25">
      <c r="A16" s="1" t="s">
        <v>41</v>
      </c>
      <c r="C16" s="1" t="s">
        <v>42</v>
      </c>
      <c r="D16" s="1" t="s">
        <v>20</v>
      </c>
      <c r="E16" s="1" t="s">
        <v>10</v>
      </c>
      <c r="F16" s="1" t="s">
        <v>43</v>
      </c>
      <c r="H16" s="6" t="s">
        <v>44</v>
      </c>
      <c r="K16" s="6" t="s">
        <v>45</v>
      </c>
    </row>
    <row r="17" spans="1:14" x14ac:dyDescent="0.25">
      <c r="A17" s="1" t="s">
        <v>46</v>
      </c>
      <c r="C17" t="s">
        <v>8</v>
      </c>
      <c r="D17" s="1">
        <v>7010</v>
      </c>
      <c r="E17" s="1" t="s">
        <v>47</v>
      </c>
      <c r="F17" s="1" t="s">
        <v>48</v>
      </c>
      <c r="H17" s="7">
        <v>7010</v>
      </c>
      <c r="I17">
        <f t="array" aca="1" ref="I17" ca="1">OFFSET(UNIDADES_MINERAS[[#Headers],[UNIDADES]],MATCH($H$17,UNIDADES_MINERAS[[#All],[UNIDADES]],0)-1,2,COUNTIF(UNIDADES_MINERAS[[#All],[UNIDADES]],$H$17),1)</f>
        <v>7461</v>
      </c>
      <c r="K17" t="s">
        <v>9</v>
      </c>
      <c r="L17" s="1">
        <f t="array" aca="1" ref="L17" ca="1">OFFSET(UNIDADES_VALIDACION[[#Headers],[NOMBRE UNIDADES]],MATCH(CELDA_UNIDAD_SELECCIONADA,UNIDADES_VALIDACION[[#All],[NOMBRE UNIDADES]],0)-1,1,COUNTIF( UNIDADES_VALIDACION[[#All],[NOMBRE UNIDADES]],CELDA_UNIDAD_SELECCIONADA),1)</f>
        <v>7010</v>
      </c>
      <c r="M17" s="1">
        <v>134</v>
      </c>
      <c r="N17" s="1">
        <v>185</v>
      </c>
    </row>
    <row r="18" spans="1:14" x14ac:dyDescent="0.25">
      <c r="A18" s="1" t="s">
        <v>49</v>
      </c>
      <c r="C18" t="s">
        <v>27</v>
      </c>
      <c r="D18" s="1">
        <v>7042</v>
      </c>
      <c r="E18" s="1" t="s">
        <v>50</v>
      </c>
      <c r="F18" s="1"/>
    </row>
    <row r="19" spans="1:14" x14ac:dyDescent="0.25">
      <c r="A19" s="1" t="s">
        <v>51</v>
      </c>
      <c r="C19" t="s">
        <v>30</v>
      </c>
      <c r="D19" s="1">
        <v>7053</v>
      </c>
      <c r="E19" s="1" t="s">
        <v>52</v>
      </c>
      <c r="F19" s="1"/>
      <c r="H19" s="6" t="s">
        <v>44</v>
      </c>
      <c r="K19" s="6" t="s">
        <v>53</v>
      </c>
    </row>
    <row r="20" spans="1:14" x14ac:dyDescent="0.25">
      <c r="A20" s="1" t="s">
        <v>54</v>
      </c>
      <c r="C20" t="s">
        <v>33</v>
      </c>
      <c r="D20" s="1">
        <v>7022</v>
      </c>
      <c r="E20" s="1" t="s">
        <v>55</v>
      </c>
      <c r="F20" s="1"/>
      <c r="H20" s="7" t="s">
        <v>28</v>
      </c>
      <c r="I20" cm="1">
        <f t="array" aca="1" ref="I20" ca="1">OFFSET(UNIDADES_MINERAS[[#Headers],[SOCIEDAD]],MATCH($H$20,UNIDADES_MINERAS[[#All],[SOCIEDAD]],0)-1,1,COUNTIF(UNIDADES_MINERAS[[#All],[SOCIEDAD]],$H$20),1)</f>
        <v>7010</v>
      </c>
      <c r="L20" t="s">
        <v>56</v>
      </c>
      <c r="M20">
        <v>67</v>
      </c>
      <c r="N20">
        <v>61</v>
      </c>
    </row>
    <row r="21" spans="1:14" x14ac:dyDescent="0.25">
      <c r="A21" s="1" t="s">
        <v>57</v>
      </c>
      <c r="C21" t="s">
        <v>58</v>
      </c>
      <c r="D21" s="1">
        <v>7056</v>
      </c>
      <c r="E21" s="1" t="s">
        <v>59</v>
      </c>
      <c r="F21" s="1"/>
    </row>
    <row r="22" spans="1:14" x14ac:dyDescent="0.25">
      <c r="A22" s="1" t="s">
        <v>60</v>
      </c>
      <c r="C22" t="s">
        <v>35</v>
      </c>
      <c r="D22" s="1">
        <v>1009</v>
      </c>
      <c r="E22" s="1" t="s">
        <v>61</v>
      </c>
      <c r="F22" s="1"/>
    </row>
    <row r="23" spans="1:14" x14ac:dyDescent="0.25">
      <c r="A23" s="1" t="s">
        <v>62</v>
      </c>
    </row>
    <row r="24" spans="1:14" x14ac:dyDescent="0.25">
      <c r="A24" s="1" t="s">
        <v>63</v>
      </c>
    </row>
    <row r="25" spans="1:14" x14ac:dyDescent="0.25">
      <c r="A25" s="1" t="s">
        <v>64</v>
      </c>
    </row>
    <row r="26" spans="1:14" x14ac:dyDescent="0.25">
      <c r="A26" s="1" t="s">
        <v>65</v>
      </c>
    </row>
    <row r="27" spans="1:14" x14ac:dyDescent="0.25">
      <c r="A27" s="1" t="s">
        <v>66</v>
      </c>
    </row>
    <row r="28" spans="1:14" x14ac:dyDescent="0.25">
      <c r="A28" s="1" t="s">
        <v>67</v>
      </c>
    </row>
    <row r="29" spans="1:14" x14ac:dyDescent="0.25">
      <c r="A29" s="1" t="s">
        <v>68</v>
      </c>
    </row>
    <row r="30" spans="1:14" x14ac:dyDescent="0.25">
      <c r="A30" s="1" t="s">
        <v>69</v>
      </c>
    </row>
    <row r="31" spans="1:14" x14ac:dyDescent="0.25">
      <c r="A31" s="1" t="s">
        <v>70</v>
      </c>
      <c r="D31" t="s">
        <v>81</v>
      </c>
    </row>
    <row r="32" spans="1:14" x14ac:dyDescent="0.25">
      <c r="A32" s="1" t="s">
        <v>71</v>
      </c>
      <c r="D32" t="s">
        <v>82</v>
      </c>
    </row>
    <row r="33" spans="1:8" x14ac:dyDescent="0.25">
      <c r="A33" s="1" t="s">
        <v>72</v>
      </c>
      <c r="D33" t="s">
        <v>83</v>
      </c>
    </row>
    <row r="34" spans="1:8" x14ac:dyDescent="0.25">
      <c r="A34" s="1" t="s">
        <v>73</v>
      </c>
      <c r="D34" t="s">
        <v>84</v>
      </c>
    </row>
    <row r="35" spans="1:8" x14ac:dyDescent="0.25">
      <c r="A35" s="1" t="s">
        <v>74</v>
      </c>
    </row>
    <row r="36" spans="1:8" x14ac:dyDescent="0.25">
      <c r="A36" s="1" t="s">
        <v>75</v>
      </c>
    </row>
    <row r="37" spans="1:8" x14ac:dyDescent="0.25">
      <c r="A37" s="1" t="s">
        <v>76</v>
      </c>
    </row>
    <row r="48" spans="1:8" x14ac:dyDescent="0.25">
      <c r="E48" s="3" t="s">
        <v>22</v>
      </c>
      <c r="F48" s="1" t="s">
        <v>77</v>
      </c>
      <c r="G48" t="s">
        <v>78</v>
      </c>
      <c r="H48" t="s">
        <v>79</v>
      </c>
    </row>
    <row r="49" spans="5:8" x14ac:dyDescent="0.25">
      <c r="E49" s="4" t="s">
        <v>25</v>
      </c>
      <c r="F49" s="1">
        <v>7010</v>
      </c>
      <c r="G49" t="s">
        <v>8</v>
      </c>
      <c r="H49" s="1">
        <v>7461</v>
      </c>
    </row>
    <row r="50" spans="5:8" x14ac:dyDescent="0.25">
      <c r="E50" s="5" t="s">
        <v>28</v>
      </c>
      <c r="F50" s="1">
        <v>7010</v>
      </c>
      <c r="G50" t="s">
        <v>8</v>
      </c>
      <c r="H50" s="1">
        <v>7462</v>
      </c>
    </row>
    <row r="51" spans="5:8" x14ac:dyDescent="0.25">
      <c r="E51" s="4" t="s">
        <v>31</v>
      </c>
      <c r="F51" s="1">
        <v>7042</v>
      </c>
      <c r="G51" t="s">
        <v>27</v>
      </c>
      <c r="H51" s="1">
        <v>7450</v>
      </c>
    </row>
    <row r="52" spans="5:8" x14ac:dyDescent="0.25">
      <c r="E52" s="5" t="s">
        <v>34</v>
      </c>
      <c r="F52" s="1">
        <v>7053</v>
      </c>
      <c r="G52" t="s">
        <v>30</v>
      </c>
      <c r="H52" s="1">
        <v>7467</v>
      </c>
    </row>
    <row r="53" spans="5:8" x14ac:dyDescent="0.25">
      <c r="E53" s="4" t="s">
        <v>36</v>
      </c>
      <c r="F53" s="1">
        <v>7022</v>
      </c>
      <c r="G53" t="s">
        <v>33</v>
      </c>
      <c r="H53" s="1">
        <v>7463</v>
      </c>
    </row>
    <row r="54" spans="5:8" x14ac:dyDescent="0.25">
      <c r="E54" s="4" t="s">
        <v>37</v>
      </c>
      <c r="F54" s="1">
        <v>1009</v>
      </c>
      <c r="G54" t="s">
        <v>35</v>
      </c>
      <c r="H54" s="1">
        <v>1009</v>
      </c>
    </row>
  </sheetData>
  <pageMargins left="0.7" right="0.7" top="0.75" bottom="0.75" header="0.3" footer="0.3"/>
  <pageSetup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DDDCB-E67E-4339-AD49-6A6259DE7341}">
  <sheetPr codeName="Hoja3"/>
  <dimension ref="A1:B3"/>
  <sheetViews>
    <sheetView tabSelected="1" workbookViewId="0">
      <selection activeCell="B1" sqref="B1"/>
    </sheetView>
  </sheetViews>
  <sheetFormatPr defaultColWidth="11.42578125" defaultRowHeight="15" x14ac:dyDescent="0.25"/>
  <cols>
    <col min="1" max="1" width="15.7109375" bestFit="1" customWidth="1"/>
    <col min="2" max="2" width="25.28515625" customWidth="1"/>
  </cols>
  <sheetData>
    <row r="1" spans="1:2" x14ac:dyDescent="0.25">
      <c r="A1" t="s">
        <v>12</v>
      </c>
      <c r="B1" t="s">
        <v>12</v>
      </c>
    </row>
    <row r="2" spans="1:2" x14ac:dyDescent="0.25">
      <c r="A2" t="s">
        <v>13</v>
      </c>
      <c r="B2" t="s">
        <v>13</v>
      </c>
    </row>
    <row r="3" spans="1:2" x14ac:dyDescent="0.25">
      <c r="A3" t="s">
        <v>80</v>
      </c>
      <c r="B3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5777A-E3D6-47C6-9ED5-258D20C14D4D}">
  <sheetPr codeName="Hoja1"/>
  <dimension ref="A1:D7"/>
  <sheetViews>
    <sheetView topLeftCell="A7" workbookViewId="0">
      <selection activeCell="D3" sqref="D3"/>
    </sheetView>
  </sheetViews>
  <sheetFormatPr defaultColWidth="11.42578125" defaultRowHeight="15" x14ac:dyDescent="0.25"/>
  <cols>
    <col min="1" max="1" width="9.140625" bestFit="1" customWidth="1"/>
    <col min="2" max="2" width="19.7109375" bestFit="1" customWidth="1"/>
    <col min="3" max="3" width="23" bestFit="1" customWidth="1"/>
    <col min="4" max="4" width="31.140625" bestFit="1" customWidth="1"/>
    <col min="5" max="5" width="27.7109375" bestFit="1" customWidth="1"/>
    <col min="6" max="6" width="21.7109375" bestFit="1" customWidth="1"/>
    <col min="7" max="7" width="21.28515625" bestFit="1" customWidth="1"/>
    <col min="8" max="8" width="25.42578125" bestFit="1" customWidth="1"/>
    <col min="9" max="9" width="12.42578125" bestFit="1" customWidth="1"/>
    <col min="10" max="10" width="17.28515625" bestFit="1" customWidth="1"/>
    <col min="11" max="11" width="23.42578125" bestFit="1" customWidth="1"/>
    <col min="12" max="12" width="9" bestFit="1" customWidth="1"/>
    <col min="13" max="13" width="42.42578125" bestFit="1" customWidth="1"/>
    <col min="14" max="14" width="14.7109375" bestFit="1" customWidth="1"/>
    <col min="15" max="15" width="11.28515625" bestFit="1" customWidth="1"/>
    <col min="16" max="16" width="10.5703125" bestFit="1" customWidth="1"/>
    <col min="17" max="17" width="13.42578125" bestFit="1" customWidth="1"/>
    <col min="18" max="18" width="16.5703125" bestFit="1" customWidth="1"/>
    <col min="19" max="19" width="27.42578125" bestFit="1" customWidth="1"/>
    <col min="20" max="20" width="14.28515625" bestFit="1" customWidth="1"/>
    <col min="21" max="21" width="24.7109375" bestFit="1" customWidth="1"/>
    <col min="22" max="22" width="15.42578125" bestFit="1" customWidth="1"/>
    <col min="23" max="23" width="13.28515625" bestFit="1" customWidth="1"/>
    <col min="24" max="24" width="20.7109375" bestFit="1" customWidth="1"/>
    <col min="25" max="25" width="22.42578125" bestFit="1" customWidth="1"/>
    <col min="26" max="26" width="16.28515625" bestFit="1" customWidth="1"/>
    <col min="27" max="27" width="16.5703125" bestFit="1" customWidth="1"/>
    <col min="28" max="28" width="15.7109375" bestFit="1" customWidth="1"/>
    <col min="29" max="29" width="17.7109375" bestFit="1" customWidth="1"/>
    <col min="30" max="30" width="10.7109375" bestFit="1" customWidth="1"/>
    <col min="31" max="31" width="25.42578125" bestFit="1" customWidth="1"/>
    <col min="32" max="32" width="23.7109375" bestFit="1" customWidth="1"/>
    <col min="33" max="33" width="15.42578125" bestFit="1" customWidth="1"/>
    <col min="34" max="34" width="41.7109375" bestFit="1" customWidth="1"/>
    <col min="35" max="35" width="51.5703125" bestFit="1" customWidth="1"/>
    <col min="36" max="36" width="21.7109375" bestFit="1" customWidth="1"/>
    <col min="37" max="37" width="22.28515625" bestFit="1" customWidth="1"/>
    <col min="38" max="38" width="22.140625" bestFit="1" customWidth="1"/>
    <col min="39" max="39" width="18" bestFit="1" customWidth="1"/>
    <col min="40" max="40" width="22.7109375" bestFit="1" customWidth="1"/>
    <col min="41" max="41" width="58" bestFit="1" customWidth="1"/>
    <col min="42" max="42" width="20.28515625" bestFit="1" customWidth="1"/>
    <col min="43" max="43" width="11.28515625" bestFit="1" customWidth="1"/>
    <col min="44" max="44" width="14.7109375" bestFit="1" customWidth="1"/>
    <col min="45" max="45" width="9.7109375" bestFit="1" customWidth="1"/>
    <col min="46" max="46" width="23.7109375" bestFit="1" customWidth="1"/>
    <col min="47" max="47" width="42.42578125" bestFit="1" customWidth="1"/>
    <col min="48" max="48" width="61.7109375" bestFit="1" customWidth="1"/>
    <col min="49" max="49" width="42.7109375" bestFit="1" customWidth="1"/>
    <col min="50" max="50" width="22.7109375" bestFit="1" customWidth="1"/>
    <col min="51" max="51" width="23.42578125" bestFit="1" customWidth="1"/>
    <col min="52" max="52" width="14" bestFit="1" customWidth="1"/>
    <col min="53" max="53" width="7.85546875" bestFit="1" customWidth="1"/>
    <col min="54" max="54" width="49.42578125" bestFit="1" customWidth="1"/>
    <col min="55" max="55" width="20.28515625" bestFit="1" customWidth="1"/>
    <col min="56" max="56" width="25.42578125" bestFit="1" customWidth="1"/>
    <col min="57" max="57" width="23.7109375" bestFit="1" customWidth="1"/>
    <col min="58" max="58" width="42" bestFit="1" customWidth="1"/>
    <col min="59" max="59" width="16" bestFit="1" customWidth="1"/>
    <col min="60" max="60" width="20" bestFit="1" customWidth="1"/>
    <col min="61" max="61" width="21.5703125" bestFit="1" customWidth="1"/>
    <col min="62" max="62" width="14.85546875" bestFit="1" customWidth="1"/>
    <col min="63" max="63" width="17.85546875" bestFit="1" customWidth="1"/>
    <col min="64" max="64" width="25.7109375" bestFit="1" customWidth="1"/>
    <col min="65" max="65" width="31.140625" bestFit="1" customWidth="1"/>
    <col min="66" max="66" width="43.140625" bestFit="1" customWidth="1"/>
    <col min="67" max="67" width="45.42578125" bestFit="1" customWidth="1"/>
    <col min="68" max="68" width="39.28515625" bestFit="1" customWidth="1"/>
    <col min="69" max="69" width="42.5703125" bestFit="1" customWidth="1"/>
    <col min="70" max="70" width="31.42578125" bestFit="1" customWidth="1"/>
    <col min="71" max="71" width="19" bestFit="1" customWidth="1"/>
    <col min="72" max="72" width="21.5703125" bestFit="1" customWidth="1"/>
    <col min="73" max="73" width="34.5703125" bestFit="1" customWidth="1"/>
    <col min="74" max="74" width="31.28515625" bestFit="1" customWidth="1"/>
    <col min="75" max="75" width="16.140625" bestFit="1" customWidth="1"/>
    <col min="76" max="76" width="14.28515625" bestFit="1" customWidth="1"/>
  </cols>
  <sheetData>
    <row r="1" spans="1:4" x14ac:dyDescent="0.25">
      <c r="A1" t="s">
        <v>0</v>
      </c>
      <c r="B1" s="1" t="s">
        <v>1</v>
      </c>
    </row>
    <row r="2" spans="1:4" x14ac:dyDescent="0.25">
      <c r="A2" t="s">
        <v>2</v>
      </c>
      <c r="B2" s="1" t="s">
        <v>3</v>
      </c>
      <c r="C2" s="1" t="s">
        <v>4</v>
      </c>
      <c r="D2" s="1" t="s">
        <v>5</v>
      </c>
    </row>
    <row r="3" spans="1:4" x14ac:dyDescent="0.25">
      <c r="A3" t="s">
        <v>6</v>
      </c>
      <c r="B3" s="1" t="s">
        <v>3</v>
      </c>
      <c r="C3" s="1" t="s">
        <v>4</v>
      </c>
      <c r="D3" s="1" t="s">
        <v>5</v>
      </c>
    </row>
    <row r="4" spans="1:4" x14ac:dyDescent="0.25">
      <c r="A4" t="s">
        <v>7</v>
      </c>
      <c r="B4" s="1" t="s">
        <v>8</v>
      </c>
      <c r="C4" s="1"/>
      <c r="D4" s="1"/>
    </row>
    <row r="5" spans="1:4" x14ac:dyDescent="0.25">
      <c r="A5" t="s">
        <v>9</v>
      </c>
      <c r="B5" s="1">
        <f t="array" aca="1" ref="B5" ca="1">OFFSET(UNIDADES_VALIDACION[[#Headers],[NOMBRE UNIDADES]],MATCH(CELDA_UNIDAD_SELECCIONADA,UNIDADES_VALIDACION[[#All],[NOMBRE UNIDADES]],0)-1,1,COUNTIF( UNIDADES_VALIDACION[[#All],[NOMBRE UNIDADES]],CELDA_UNIDAD_SELECCIONADA),1)</f>
        <v>7010</v>
      </c>
      <c r="C5" s="1"/>
      <c r="D5" s="1"/>
    </row>
    <row r="6" spans="1:4" x14ac:dyDescent="0.25">
      <c r="A6" t="s">
        <v>10</v>
      </c>
      <c r="B6" s="1" t="str">
        <f t="array" aca="1" ref="B6" ca="1">OFFSET(UNIDADES_VALIDACION[[#Headers],[NOMBRE UNIDADES]],MATCH(CELDA_UNIDAD_SELECCIONADA,UNIDADES_VALIDACION[[#All],[NOMBRE UNIDADES]],0)-1,2,COUNTIF(UNIDADES_VALIDACION[[#All],[NOMBRE UNIDADES]],CELDA_UNIDAD_SELECCIONADA),1)</f>
        <v>P2</v>
      </c>
      <c r="C6" t="s">
        <v>11</v>
      </c>
      <c r="D6" s="1" t="str">
        <f t="array" aca="1" ref="D6" ca="1">OFFSET(UNIDADES_VALIDACION[[#Headers],[NOMBRE UNIDADES]],MATCH(CELDA_UNIDAD_SELECCIONADA,UNIDADES_VALIDACION[[#All],[NOMBRE UNIDADES]],0)-1,3,COUNTIF(UNIDADES_VALIDACION[[#All],[NOMBRE UNIDADES]],CELDA_UNIDAD_SELECCIONADA),1)</f>
        <v>P5</v>
      </c>
    </row>
    <row r="7" spans="1:4" x14ac:dyDescent="0.25">
      <c r="D7" s="2"/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EJECUCIÓN_EXTREMA">
                <anchor moveWithCells="1" sizeWithCells="1">
                  <from>
                    <xdr:col>5</xdr:col>
                    <xdr:colOff>209550</xdr:colOff>
                    <xdr:row>0</xdr:row>
                    <xdr:rowOff>171450</xdr:rowOff>
                  </from>
                  <to>
                    <xdr:col>9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3D89E-A4D7-4AF8-83EF-C870084A1152}">
  <sheetPr codeName="Hoja4"/>
  <dimension ref="A1"/>
  <sheetViews>
    <sheetView workbookViewId="0">
      <selection sqref="A1:XFD820"/>
    </sheetView>
  </sheetViews>
  <sheetFormatPr defaultColWidth="8.85546875" defaultRowHeight="15" x14ac:dyDescent="0.25"/>
  <cols>
    <col min="1" max="1" width="10" style="8" bestFit="1" customWidth="1"/>
    <col min="2" max="2" width="19.28515625" style="8" customWidth="1"/>
    <col min="3" max="5" width="22.5703125" style="8" customWidth="1"/>
    <col min="6" max="6" width="32" style="8" bestFit="1" customWidth="1"/>
    <col min="7" max="7" width="27" style="8" bestFit="1" customWidth="1"/>
    <col min="8" max="8" width="23" style="8" bestFit="1" customWidth="1"/>
    <col min="9" max="9" width="22" style="8" bestFit="1" customWidth="1"/>
    <col min="10" max="10" width="27" style="8" bestFit="1" customWidth="1"/>
    <col min="11" max="11" width="15.140625" style="8" customWidth="1"/>
    <col min="12" max="12" width="17" style="8" bestFit="1" customWidth="1"/>
    <col min="13" max="13" width="22" style="8" bestFit="1" customWidth="1"/>
    <col min="14" max="14" width="14.42578125" style="8" customWidth="1"/>
    <col min="15" max="15" width="42" style="8" bestFit="1" customWidth="1"/>
    <col min="16" max="16" width="15" style="8" bestFit="1" customWidth="1"/>
    <col min="17" max="17" width="13.140625" style="8" customWidth="1"/>
    <col min="18" max="18" width="16.28515625" style="8" customWidth="1"/>
    <col min="19" max="19" width="26" style="8" bestFit="1" customWidth="1"/>
    <col min="20" max="20" width="18" style="8" bestFit="1" customWidth="1"/>
    <col min="21" max="21" width="27" style="8" bestFit="1" customWidth="1"/>
    <col min="22" max="22" width="15.140625" style="8" customWidth="1"/>
    <col min="23" max="23" width="25" style="8" bestFit="1" customWidth="1"/>
    <col min="24" max="24" width="17" style="8" bestFit="1" customWidth="1"/>
    <col min="25" max="25" width="14" style="8" bestFit="1" customWidth="1"/>
    <col min="26" max="26" width="22" style="8" bestFit="1" customWidth="1"/>
    <col min="27" max="27" width="23" style="8" bestFit="1" customWidth="1"/>
    <col min="28" max="28" width="15.85546875" style="8" customWidth="1"/>
    <col min="29" max="29" width="18" style="8" bestFit="1" customWidth="1"/>
    <col min="30" max="30" width="15.42578125" style="8" customWidth="1"/>
    <col min="31" max="31" width="24.85546875" style="8" customWidth="1"/>
    <col min="32" max="32" width="23.28515625" style="8" customWidth="1"/>
    <col min="33" max="33" width="24.85546875" style="8" customWidth="1"/>
    <col min="34" max="34" width="40.7109375" style="8" customWidth="1"/>
    <col min="35" max="35" width="16.28515625" style="8" customWidth="1"/>
    <col min="36" max="36" width="40.7109375" style="8" customWidth="1"/>
    <col min="37" max="37" width="53" style="8" bestFit="1" customWidth="1"/>
    <col min="38" max="38" width="23" style="8" bestFit="1" customWidth="1"/>
    <col min="39" max="39" width="21.7109375" style="8" customWidth="1"/>
    <col min="40" max="40" width="22.28515625" style="8" customWidth="1"/>
    <col min="41" max="41" width="20" style="8" bestFit="1" customWidth="1"/>
    <col min="42" max="42" width="23" style="8" bestFit="1" customWidth="1"/>
    <col min="43" max="43" width="59" style="8" bestFit="1" customWidth="1"/>
    <col min="44" max="44" width="20" style="8" bestFit="1" customWidth="1"/>
    <col min="45" max="45" width="11" style="8" bestFit="1" customWidth="1"/>
    <col min="46" max="46" width="30" style="8" bestFit="1" customWidth="1"/>
    <col min="47" max="47" width="26" style="8" customWidth="1"/>
    <col min="48" max="48" width="25" style="8" bestFit="1" customWidth="1"/>
    <col min="49" max="49" width="42" style="8" bestFit="1" customWidth="1"/>
    <col min="50" max="50" width="63" style="8" bestFit="1" customWidth="1"/>
    <col min="51" max="51" width="42" style="8" bestFit="1" customWidth="1"/>
    <col min="52" max="52" width="24" style="8" bestFit="1" customWidth="1"/>
    <col min="53" max="53" width="25" style="8" bestFit="1" customWidth="1"/>
    <col min="54" max="54" width="15" style="8" bestFit="1" customWidth="1"/>
    <col min="55" max="55" width="19.7109375" style="8" customWidth="1"/>
    <col min="56" max="56" width="49" style="8" bestFit="1" customWidth="1"/>
    <col min="57" max="57" width="19.7109375" style="8" customWidth="1"/>
    <col min="58" max="58" width="26" style="8" bestFit="1" customWidth="1"/>
    <col min="59" max="59" width="25" style="8" bestFit="1" customWidth="1"/>
    <col min="60" max="60" width="42" style="8" bestFit="1" customWidth="1"/>
    <col min="61" max="61" width="21.140625" style="8" customWidth="1"/>
    <col min="62" max="62" width="21" style="8" bestFit="1" customWidth="1"/>
    <col min="63" max="63" width="21.140625" style="8" customWidth="1"/>
    <col min="64" max="64" width="20.7109375" style="8" customWidth="1"/>
    <col min="65" max="65" width="30.42578125" style="8" customWidth="1"/>
    <col min="66" max="66" width="30" style="8" bestFit="1" customWidth="1"/>
    <col min="67" max="67" width="44.42578125" style="8" customWidth="1"/>
    <col min="68" max="68" width="42" style="8" bestFit="1" customWidth="1"/>
    <col min="69" max="69" width="44.42578125" style="8" customWidth="1"/>
    <col min="70" max="70" width="38.42578125" style="8" customWidth="1"/>
    <col min="71" max="71" width="42" style="8" bestFit="1" customWidth="1"/>
    <col min="72" max="72" width="31" style="8" bestFit="1" customWidth="1"/>
    <col min="73" max="73" width="22.140625" style="8" customWidth="1"/>
    <col min="74" max="74" width="21.140625" style="8" customWidth="1"/>
    <col min="75" max="76" width="32" style="8" bestFit="1" customWidth="1"/>
    <col min="77" max="77" width="14.5703125" style="8" customWidth="1"/>
    <col min="78" max="78" width="14" style="8" customWidth="1"/>
    <col min="79" max="16384" width="8.85546875" style="8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8AA4D-D980-4DCE-9076-3A2D74A9F1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FILTROS</vt:lpstr>
      <vt:lpstr>CREDENCIALES SAP</vt:lpstr>
      <vt:lpstr>SAP</vt:lpstr>
      <vt:lpstr>PRUEBA</vt:lpstr>
      <vt:lpstr>CELDA_UNIDAD_SELECCIONADA</vt:lpstr>
      <vt:lpstr>Environment_Maestra</vt:lpstr>
      <vt:lpstr>SAP_FECHA1</vt:lpstr>
      <vt:lpstr>SAP_FECHA2</vt:lpstr>
      <vt:lpstr>SAP_FECHA3</vt:lpstr>
      <vt:lpstr>SAP_FECHA4</vt:lpstr>
      <vt:lpstr>Selectedpassword_Maestra</vt:lpstr>
      <vt:lpstr>Selectusuario_Maestra</vt:lpstr>
      <vt:lpstr>Selectusuario_Maesttra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Maximo Cosme Malasquez</dc:creator>
  <cp:lastModifiedBy>andre</cp:lastModifiedBy>
  <dcterms:created xsi:type="dcterms:W3CDTF">2022-11-21T00:07:15Z</dcterms:created>
  <dcterms:modified xsi:type="dcterms:W3CDTF">2023-03-28T00:32:36Z</dcterms:modified>
</cp:coreProperties>
</file>